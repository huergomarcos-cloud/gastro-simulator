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n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0.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3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5"/>
  <sheetViews>
    <sheetView workbookViewId="0"/>
  </sheetViews>
  <cols>
    <col min="1" max="1" width="40.83203125" customWidth="1"/>
    <col min="2" max="2" width="18.83203125" customWidth="1"/>
    <col min="3" max="3" width="12.83203125" customWidth="1"/>
  </cols>
  <sheetData>
    <row r="1">
      <c r="A1" t="str">
        <v>ESTADO DE RESULTADOS — SNACK</v>
      </c>
      <c r="B1" t="str">
        <v/>
      </c>
      <c r="C1" t="str">
        <v/>
      </c>
    </row>
    <row r="2">
      <c r="A2" t="str">
        <v>Restaurante formato barra, Buenos Aires</v>
      </c>
      <c r="B2" t="str">
        <v/>
      </c>
      <c r="C2" t="str">
        <v/>
      </c>
    </row>
    <row r="3">
      <c r="A3" t="str">
        <v>Valores mensuales USD (steady state - Diciembre)</v>
      </c>
      <c r="B3" t="str">
        <v/>
      </c>
      <c r="C3" t="str">
        <v/>
      </c>
    </row>
    <row r="4">
      <c r="A4" t="str">
        <v/>
      </c>
      <c r="B4" t="str">
        <v/>
      </c>
      <c r="C4" t="str">
        <v/>
      </c>
    </row>
    <row r="5">
      <c r="A5" t="str">
        <v/>
      </c>
      <c r="B5" t="str">
        <v>MONTO</v>
      </c>
      <c r="C5" t="str">
        <v>% s/ Rev</v>
      </c>
    </row>
    <row r="6">
      <c r="A6" t="str">
        <v/>
      </c>
      <c r="B6" t="str">
        <v/>
      </c>
      <c r="C6" t="str">
        <v/>
      </c>
    </row>
    <row r="7">
      <c r="A7" t="str">
        <v>Revenue Total</v>
      </c>
      <c r="B7" s="1">
        <v>55725</v>
      </c>
      <c r="C7" s="2">
        <f>B7/B7</f>
      </c>
    </row>
    <row r="8">
      <c r="A8" t="str">
        <v/>
      </c>
      <c r="B8" t="str">
        <v/>
      </c>
      <c r="C8" t="str">
        <v/>
      </c>
    </row>
    <row r="9">
      <c r="A9" t="str">
        <v>(-) Food Cost</v>
      </c>
      <c r="B9" s="1">
        <f>-B7*0.25</f>
      </c>
      <c r="C9" s="2">
        <f>-B9/B7</f>
      </c>
    </row>
    <row r="10">
      <c r="A10" t="str">
        <v>(-) Paper / Descartables</v>
      </c>
      <c r="B10" s="1">
        <f>-B7*0.025</f>
      </c>
      <c r="C10" s="2">
        <f>-B10/B7</f>
      </c>
    </row>
    <row r="11">
      <c r="A11" t="str">
        <v>(-) Comisiones Pago</v>
      </c>
      <c r="B11" s="1">
        <f>-B7*0.8*0.012</f>
      </c>
      <c r="C11" s="2">
        <f>-B11/B7</f>
      </c>
    </row>
    <row r="12">
      <c r="A12" t="str">
        <v>(-) Marketing</v>
      </c>
      <c r="B12" s="1">
        <f>-B7*0.03</f>
      </c>
      <c r="C12" s="2">
        <f>-B12/B7</f>
      </c>
    </row>
    <row r="13">
      <c r="A13" t="str">
        <v/>
      </c>
      <c r="B13" t="str">
        <v/>
      </c>
      <c r="C13" t="str">
        <v/>
      </c>
    </row>
    <row r="14">
      <c r="A14" t="str">
        <v>MARGEN BRUTO</v>
      </c>
      <c r="B14" s="1">
        <f>B7+B9+B10+B11+B12</f>
      </c>
      <c r="C14" s="2">
        <f>B14/B7</f>
      </c>
    </row>
    <row r="15">
      <c r="A15" t="str">
        <v/>
      </c>
      <c r="B15" t="str">
        <v/>
      </c>
      <c r="C15" t="str">
        <v/>
      </c>
    </row>
    <row r="16">
      <c r="A16" t="str">
        <v>(-) Staff (14 × $1,150)</v>
      </c>
      <c r="B16" s="1">
        <f>-14*1150</f>
      </c>
      <c r="C16" s="2">
        <f>-B16/B7</f>
      </c>
    </row>
    <row r="17">
      <c r="A17" t="str">
        <v>(-) Alquiler</v>
      </c>
      <c r="B17" s="1">
        <v>-3400</v>
      </c>
      <c r="C17" s="2">
        <f>-B17/B7</f>
      </c>
    </row>
    <row r="18">
      <c r="A18" t="str">
        <v>(-) Servicios</v>
      </c>
      <c r="B18" s="1">
        <v>-1350</v>
      </c>
      <c r="C18" s="2">
        <f>-B18/B7</f>
      </c>
    </row>
    <row r="19">
      <c r="A19" t="str">
        <v>(-) Contador</v>
      </c>
      <c r="B19" s="1">
        <v>-500</v>
      </c>
      <c r="C19" s="2">
        <f>-B19/B7</f>
      </c>
    </row>
    <row r="20">
      <c r="A20" t="str">
        <v>(-) Software</v>
      </c>
      <c r="B20" s="1">
        <v>-300</v>
      </c>
      <c r="C20" s="2">
        <f>-B20/B7</f>
      </c>
    </row>
    <row r="21">
      <c r="A21" t="str">
        <v>(-) Seguros</v>
      </c>
      <c r="B21" s="1">
        <v>-300</v>
      </c>
      <c r="C21" s="2">
        <f>-B21/B7</f>
      </c>
    </row>
    <row r="22">
      <c r="A22" t="str">
        <v/>
      </c>
      <c r="B22" t="str">
        <v/>
      </c>
      <c r="C22" t="str">
        <v/>
      </c>
    </row>
    <row r="23">
      <c r="A23" t="str">
        <v>EBITDA</v>
      </c>
      <c r="B23" s="1">
        <f>B14+B16+B17+B18+B19+B20+B21</f>
      </c>
      <c r="C23" s="2">
        <f>B23/B7</f>
      </c>
    </row>
    <row r="24">
      <c r="A24" t="str">
        <v/>
      </c>
      <c r="B24" t="str">
        <v/>
      </c>
      <c r="C24" t="str">
        <v/>
      </c>
    </row>
    <row r="25">
      <c r="A25" t="str">
        <v>IMPUESTOS</v>
      </c>
      <c r="B25" t="str">
        <v/>
      </c>
      <c r="C25" t="str">
        <v/>
      </c>
    </row>
    <row r="26">
      <c r="A26" t="str">
        <v/>
      </c>
      <c r="B26" t="str">
        <v/>
      </c>
      <c r="C26" t="str">
        <v/>
      </c>
    </row>
    <row r="27">
      <c r="A27" t="str">
        <v>(-) IVA Débito</v>
      </c>
      <c r="B27" s="1">
        <f>B7*0.8*0.21/1.21</f>
      </c>
      <c r="C27" t="str">
        <v/>
      </c>
    </row>
    <row r="28">
      <c r="A28" t="str">
        <v>(+) IVA Crédito Food+Paper blanco</v>
      </c>
      <c r="B28" s="1">
        <f>(-B9+-B10)*0.8*0.21/1.21</f>
      </c>
      <c r="C28" t="str">
        <v/>
      </c>
    </row>
    <row r="29">
      <c r="A29" t="str">
        <v>(+) IVA Crédito Serv+Cont+Soft+Seg</v>
      </c>
      <c r="B29" s="1">
        <f>(-B18+-B19+-B20+-B21)*0.21/1.21</f>
      </c>
      <c r="C29" t="str">
        <v/>
      </c>
    </row>
    <row r="30">
      <c r="A30" t="str">
        <v>(-) IVA A PAGAR</v>
      </c>
      <c r="B30" s="1">
        <f>-MAX(0,B27-B28-B29)</f>
      </c>
      <c r="C30" s="2">
        <f>-B30/B7</f>
      </c>
    </row>
    <row r="31">
      <c r="A31" t="str">
        <v/>
      </c>
      <c r="B31" t="str">
        <v/>
      </c>
      <c r="C31" t="str">
        <v/>
      </c>
    </row>
    <row r="32">
      <c r="A32" t="str">
        <v>(-) IIBB (3.5% s/ rev blanco neto IVA)</v>
      </c>
      <c r="B32" s="1">
        <f>-B7*0.8/1.21*0.035</f>
      </c>
      <c r="C32" s="2">
        <f>-B32/B7</f>
      </c>
    </row>
    <row r="33">
      <c r="A33" t="str">
        <v/>
      </c>
      <c r="B33" t="str">
        <v/>
      </c>
      <c r="C33" t="str">
        <v/>
      </c>
    </row>
    <row r="34">
      <c r="A34" t="str">
        <v>(-) Déb/Créd (1.2% s/ rev blanco)</v>
      </c>
      <c r="B34" s="1">
        <f>-B7*0.8*0.012</f>
      </c>
      <c r="C34" s="2">
        <f>-B34/B7</f>
      </c>
    </row>
    <row r="35">
      <c r="A35" t="str">
        <v/>
      </c>
      <c r="B35" t="str">
        <v/>
      </c>
      <c r="C35" t="str">
        <v/>
      </c>
    </row>
    <row r="36">
      <c r="A36" t="str">
        <v>(-) Ganancias (35% s/ base imponible)</v>
      </c>
      <c r="B36" t="str">
        <v/>
      </c>
      <c r="C36" t="str">
        <v/>
      </c>
    </row>
    <row r="37">
      <c r="A37" t="str">
        <v xml:space="preserve">    Rev Blanco</v>
      </c>
      <c r="B37" s="1">
        <f>B7*0.8</f>
      </c>
      <c r="C37" t="str">
        <v/>
      </c>
    </row>
    <row r="38">
      <c r="A38" t="str">
        <v xml:space="preserve">    (-) Costos deducibles</v>
      </c>
      <c r="B38" s="1">
        <f>(-B9+-B10)*0.8+B11+B12+B16+B17+B18+B19+B20+B21</f>
      </c>
      <c r="C38" t="str">
        <v/>
      </c>
    </row>
    <row r="39">
      <c r="A39" t="str">
        <v xml:space="preserve">    (-) IVA+IIBB+DC</v>
      </c>
      <c r="B39" s="1">
        <f>B30+B32+B34</f>
      </c>
      <c r="C39" t="str">
        <v/>
      </c>
    </row>
    <row r="40">
      <c r="A40" t="str">
        <v xml:space="preserve">    = Base imponible</v>
      </c>
      <c r="B40" s="1">
        <f>B37+B38+B39</f>
      </c>
      <c r="C40" t="str">
        <v/>
      </c>
    </row>
    <row r="41">
      <c r="A41" t="str">
        <v>(-) GANANCIAS A PAGAR</v>
      </c>
      <c r="B41" s="1">
        <f>-MAX(0,B40)*0.35</f>
      </c>
      <c r="C41" s="2">
        <f>-B41/B7</f>
      </c>
    </row>
    <row r="42">
      <c r="A42" t="str">
        <v/>
      </c>
      <c r="B42" t="str">
        <v/>
      </c>
      <c r="C42" t="str">
        <v/>
      </c>
    </row>
    <row r="43">
      <c r="A43" t="str">
        <v>TOTAL IMPUESTOS</v>
      </c>
      <c r="B43" s="1">
        <f>B30+B32+B34+B41</f>
      </c>
      <c r="C43" s="2">
        <f>-B43/B7</f>
      </c>
    </row>
    <row r="44">
      <c r="A44" t="str">
        <v/>
      </c>
      <c r="B44" t="str">
        <v/>
      </c>
      <c r="C44" t="str">
        <v/>
      </c>
    </row>
    <row r="45">
      <c r="A45" t="str">
        <v>NET INCOME</v>
      </c>
      <c r="B45" s="1">
        <f>B23+B43</f>
      </c>
      <c r="C45" s="2">
        <f>B45/B7</f>
      </c>
    </row>
  </sheetData>
  <ignoredErrors>
    <ignoredError numberStoredAsText="1" sqref="A1:C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PnL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