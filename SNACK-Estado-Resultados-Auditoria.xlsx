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Estado de Result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5.83203125" customWidth="1"/>
    <col min="2" max="2" width="15.83203125" customWidth="1"/>
    <col min="3" max="3" width="40.83203125" customWidth="1"/>
  </cols>
  <sheetData>
    <row r="1">
      <c r="A1" t="str">
        <v>INPUTS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Revenue Total</v>
      </c>
      <c r="B3">
        <v>55725</v>
      </c>
      <c r="C3" t="str">
        <v/>
      </c>
    </row>
    <row r="4">
      <c r="A4" t="str">
        <v>% Blanco</v>
      </c>
      <c r="B4" s="1">
        <v>0.8</v>
      </c>
      <c r="C4" t="str">
        <v/>
      </c>
    </row>
    <row r="5">
      <c r="A5" t="str">
        <v>% Negro</v>
      </c>
      <c r="B5" s="1">
        <v>0.2</v>
      </c>
      <c r="C5" t="str">
        <v/>
      </c>
    </row>
    <row r="6">
      <c r="A6" t="str">
        <v>Food Cost %</v>
      </c>
      <c r="B6" s="1">
        <v>0.25</v>
      </c>
      <c r="C6" t="str">
        <v/>
      </c>
    </row>
    <row r="7">
      <c r="A7" t="str">
        <v>Paper Cost %</v>
      </c>
      <c r="B7" s="1">
        <v>0.025</v>
      </c>
      <c r="C7" t="str">
        <v/>
      </c>
    </row>
    <row r="8">
      <c r="A8" t="str">
        <v>Comisiones Pago %</v>
      </c>
      <c r="B8" s="1">
        <v>0.012</v>
      </c>
      <c r="C8" t="str">
        <v/>
      </c>
    </row>
    <row r="9">
      <c r="A9" t="str">
        <v>Marketing %</v>
      </c>
      <c r="B9" s="1">
        <v>0.03</v>
      </c>
      <c r="C9" t="str">
        <v/>
      </c>
    </row>
    <row r="10">
      <c r="A10" t="str">
        <v>Staff (personas)</v>
      </c>
      <c r="B10">
        <v>14</v>
      </c>
      <c r="C10" t="str">
        <v/>
      </c>
    </row>
    <row r="11">
      <c r="A11" t="str">
        <v>Sueldo / persona</v>
      </c>
      <c r="B11">
        <v>1150</v>
      </c>
      <c r="C11" t="str">
        <v/>
      </c>
    </row>
    <row r="12">
      <c r="A12" t="str">
        <v>Alquiler</v>
      </c>
      <c r="B12">
        <v>3400</v>
      </c>
      <c r="C12" t="str">
        <v/>
      </c>
    </row>
    <row r="13">
      <c r="A13" t="str">
        <v>Servicios</v>
      </c>
      <c r="B13">
        <v>1350</v>
      </c>
      <c r="C13" t="str">
        <v/>
      </c>
    </row>
    <row r="14">
      <c r="A14" t="str">
        <v>Contador</v>
      </c>
      <c r="B14">
        <v>500</v>
      </c>
      <c r="C14" t="str">
        <v/>
      </c>
    </row>
    <row r="15">
      <c r="A15" t="str">
        <v>Software</v>
      </c>
      <c r="B15">
        <v>300</v>
      </c>
      <c r="C15" t="str">
        <v/>
      </c>
    </row>
    <row r="16">
      <c r="A16" t="str">
        <v>Seguros</v>
      </c>
      <c r="B16">
        <v>300</v>
      </c>
      <c r="C16" t="str">
        <v/>
      </c>
    </row>
    <row r="17">
      <c r="A17" t="str">
        <v>% Compras en Blanco</v>
      </c>
      <c r="B17" s="1">
        <v>0.8</v>
      </c>
      <c r="C17" t="str">
        <v/>
      </c>
    </row>
    <row r="18">
      <c r="A18" t="str">
        <v>IVA %</v>
      </c>
      <c r="B18" s="1">
        <v>0.21</v>
      </c>
      <c r="C18" t="str">
        <v/>
      </c>
    </row>
    <row r="19">
      <c r="A19" t="str">
        <v>IIBB %</v>
      </c>
      <c r="B19" s="1">
        <v>0.035</v>
      </c>
      <c r="C19" t="str">
        <v/>
      </c>
    </row>
    <row r="20">
      <c r="A20" t="str">
        <v>Déb/Créd %</v>
      </c>
      <c r="B20" s="1">
        <v>0.012</v>
      </c>
      <c r="C20" t="str">
        <v/>
      </c>
    </row>
    <row r="21">
      <c r="A21" t="str">
        <v>Ganancias %</v>
      </c>
      <c r="B21" s="1">
        <v>0.35</v>
      </c>
      <c r="C21" t="str">
        <v/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35.83203125" customWidth="1"/>
    <col min="2" max="2" width="18.83203125" customWidth="1"/>
    <col min="3" max="3" width="45.83203125" customWidth="1"/>
    <col min="4" max="4" width="14.83203125" customWidth="1"/>
    <col min="5" max="5" width="45.83203125" customWidth="1"/>
  </cols>
  <sheetData>
    <row r="1">
      <c r="A1" t="str">
        <v>ESTADO DE RESULTADOS</v>
      </c>
      <c r="B1" t="str">
        <v>MONTO</v>
      </c>
      <c r="C1" t="str">
        <v>FÓRMULA</v>
      </c>
      <c r="D1" t="str">
        <v>% s/ Revenue</v>
      </c>
      <c r="E1" t="str">
        <v>NOTAS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REVENUE</v>
      </c>
      <c r="B3" t="str">
        <v/>
      </c>
      <c r="C3" t="str">
        <v/>
      </c>
      <c r="D3" t="str">
        <v/>
      </c>
      <c r="E3" t="str">
        <v/>
      </c>
    </row>
    <row r="4">
      <c r="A4" t="str">
        <v>Revenue Total</v>
      </c>
      <c r="B4" s="2">
        <f>Inputs!B3</f>
      </c>
      <c r="C4" t="str">
        <v/>
      </c>
      <c r="D4" s="1">
        <f>B4/B4</f>
      </c>
      <c r="E4" t="str">
        <v/>
      </c>
    </row>
    <row r="5">
      <c r="A5" t="str">
        <v xml:space="preserve">  Revenue Blanco</v>
      </c>
      <c r="B5" s="2">
        <f>B4*Inputs!B4</f>
      </c>
      <c r="C5" t="str">
        <v>= Rev Total × % Blanco</v>
      </c>
      <c r="D5" s="1">
        <f>B5/B4</f>
      </c>
      <c r="E5" t="str">
        <v>Sobre este se calculan impuestos</v>
      </c>
    </row>
    <row r="6">
      <c r="A6" t="str">
        <v xml:space="preserve">  Revenue Negro</v>
      </c>
      <c r="B6" s="2">
        <f>B4*Inputs!B5</f>
      </c>
      <c r="C6" t="str">
        <v>= Rev Total × % Negro</v>
      </c>
      <c r="D6" s="1">
        <f>B6/B4</f>
      </c>
      <c r="E6" t="str">
        <v>Cash, no paga impuestos ni comisiones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COSTOS VARIABLES</v>
      </c>
      <c r="B8" t="str">
        <v/>
      </c>
      <c r="C8" t="str">
        <v/>
      </c>
      <c r="D8" t="str">
        <v/>
      </c>
      <c r="E8" t="str">
        <v/>
      </c>
    </row>
    <row r="9">
      <c r="A9" t="str">
        <v xml:space="preserve">  Food Cost</v>
      </c>
      <c r="B9" s="2">
        <f>-B4*Inputs!B6</f>
      </c>
      <c r="C9" t="str">
        <v>= -Rev Total × Food Cost %</v>
      </c>
      <c r="D9" s="1">
        <f>-B9/B4</f>
      </c>
      <c r="E9" t="str">
        <v/>
      </c>
    </row>
    <row r="10">
      <c r="A10" t="str">
        <v xml:space="preserve">  Paper / Descartables</v>
      </c>
      <c r="B10" s="2">
        <f>-B4*Inputs!B7</f>
      </c>
      <c r="C10" t="str">
        <v>= -Rev Total × Paper %</v>
      </c>
      <c r="D10" s="1">
        <f>-B10/B4</f>
      </c>
      <c r="E10" t="str">
        <v/>
      </c>
    </row>
    <row r="11">
      <c r="A11" t="str">
        <v xml:space="preserve">  Comisiones Pago</v>
      </c>
      <c r="B11" s="2">
        <f>-B5*Inputs!B8</f>
      </c>
      <c r="C11" t="str">
        <v>= -Rev Blanco × Comisiones %</v>
      </c>
      <c r="D11" s="1">
        <f>-B11/B4</f>
      </c>
      <c r="E11" t="str">
        <v>Solo sobre blanco - negro es cash</v>
      </c>
    </row>
    <row r="12">
      <c r="A12" t="str">
        <v xml:space="preserve">  Marketing</v>
      </c>
      <c r="B12" s="2">
        <f>-B4*Inputs!B9</f>
      </c>
      <c r="C12" t="str">
        <v>= -Rev Total × Marketing %</v>
      </c>
      <c r="D12" s="1">
        <f>-B12/B4</f>
      </c>
      <c r="E12" t="str">
        <v/>
      </c>
    </row>
    <row r="13">
      <c r="A13" t="str">
        <v>Total Costos Variables</v>
      </c>
      <c r="B13" s="2">
        <f>B9+B10+B11+B12</f>
      </c>
      <c r="C13" t="str">
        <v/>
      </c>
      <c r="D13" s="1">
        <f>-B13/B4</f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COSTOS FIJOS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 xml:space="preserve">  Staff</v>
      </c>
      <c r="B16" s="2">
        <f>-Inputs!B10*Inputs!B11</f>
      </c>
      <c r="C16" t="str">
        <v>= -Personas × Sueldo</v>
      </c>
      <c r="D16" s="1">
        <f>-B16/B4</f>
      </c>
      <c r="E16" t="str">
        <v>CONSULTAR: ¿incluye cargas patronales?</v>
      </c>
    </row>
    <row r="17">
      <c r="A17" t="str">
        <v xml:space="preserve">  Alquiler</v>
      </c>
      <c r="B17" s="2">
        <f>-Inputs!B12</f>
      </c>
      <c r="C17" t="str">
        <v/>
      </c>
      <c r="D17" s="1">
        <f>-B17/B4</f>
      </c>
      <c r="E17" t="str">
        <v/>
      </c>
    </row>
    <row r="18">
      <c r="A18" t="str">
        <v xml:space="preserve">  Servicios</v>
      </c>
      <c r="B18" s="2">
        <f>-Inputs!B13</f>
      </c>
      <c r="C18" t="str">
        <v/>
      </c>
      <c r="D18" s="1">
        <f>-B18/B4</f>
      </c>
      <c r="E18" t="str">
        <v/>
      </c>
    </row>
    <row r="19">
      <c r="A19" t="str">
        <v xml:space="preserve">  Contador</v>
      </c>
      <c r="B19" s="2">
        <f>-Inputs!B14</f>
      </c>
      <c r="C19" t="str">
        <v/>
      </c>
      <c r="D19" s="1">
        <f>-B19/B4</f>
      </c>
      <c r="E19" t="str">
        <v/>
      </c>
    </row>
    <row r="20">
      <c r="A20" t="str">
        <v xml:space="preserve">  Software</v>
      </c>
      <c r="B20" s="2">
        <f>-Inputs!B15</f>
      </c>
      <c r="C20" t="str">
        <v/>
      </c>
      <c r="D20" s="1">
        <f>-B20/B4</f>
      </c>
      <c r="E20" t="str">
        <v/>
      </c>
    </row>
    <row r="21">
      <c r="A21" t="str">
        <v xml:space="preserve">  Seguros</v>
      </c>
      <c r="B21" s="2">
        <f>-Inputs!B16</f>
      </c>
      <c r="C21" t="str">
        <v/>
      </c>
      <c r="D21" s="1">
        <f>-B21/B4</f>
      </c>
      <c r="E21" t="str">
        <v/>
      </c>
    </row>
    <row r="22">
      <c r="A22" t="str">
        <v>Total Costos Fijos</v>
      </c>
      <c r="B22" s="2">
        <f>B16+B17+B18+B19+B20+B21</f>
      </c>
      <c r="C22" t="str">
        <v/>
      </c>
      <c r="D22" s="1">
        <f>-B22/B4</f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TOTAL COSTOS</v>
      </c>
      <c r="B24" s="2">
        <f>B13+B22</f>
      </c>
      <c r="C24" t="str">
        <v/>
      </c>
      <c r="D24" s="1">
        <f>-B24/B4</f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EBITDA</v>
      </c>
      <c r="B26" s="2">
        <f>B4+B24</f>
      </c>
      <c r="C26" t="str">
        <v>= Revenue + Total Costos (costos son negativos)</v>
      </c>
      <c r="D26" s="1">
        <f>B26/B4</f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>IMPUESTOS (solo sobre blanco)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>1. IVA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 xml:space="preserve">  IVA Débito</v>
      </c>
      <c r="B31" s="2">
        <f>B5*Inputs!B18/(1+Inputs!B18)</f>
      </c>
      <c r="C31" t="str">
        <v>= Rev Blanco × 21% / 1.21</v>
      </c>
      <c r="D31" t="str">
        <v/>
      </c>
      <c r="E31" t="str">
        <v>Precios incluyen IVA</v>
      </c>
    </row>
    <row r="32">
      <c r="A32" t="str">
        <v xml:space="preserve">  Compras con crédito fiscal: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 xml:space="preserve">    Food en blanco</v>
      </c>
      <c r="B33" s="2">
        <f>-B9*Inputs!B17</f>
      </c>
      <c r="C33" t="str">
        <v>= Food Cost × % Compras Blanco</v>
      </c>
      <c r="D33" t="str">
        <v/>
      </c>
      <c r="E33" t="str">
        <v/>
      </c>
    </row>
    <row r="34">
      <c r="A34" t="str">
        <v xml:space="preserve">    Paper en blanco</v>
      </c>
      <c r="B34" s="2">
        <f>-B10*Inputs!B17</f>
      </c>
      <c r="C34" t="str">
        <v>= Paper Cost × % Compras Blanco</v>
      </c>
      <c r="D34" t="str">
        <v/>
      </c>
      <c r="E34" t="str">
        <v/>
      </c>
    </row>
    <row r="35">
      <c r="A35" t="str">
        <v xml:space="preserve">    Servicios</v>
      </c>
      <c r="B35" s="2">
        <f>-B18</f>
      </c>
      <c r="C35" t="str">
        <v/>
      </c>
      <c r="D35" t="str">
        <v/>
      </c>
      <c r="E35" t="str">
        <v/>
      </c>
    </row>
    <row r="36">
      <c r="A36" t="str">
        <v xml:space="preserve">    Contador</v>
      </c>
      <c r="B36" s="2">
        <f>-B19</f>
      </c>
      <c r="C36" t="str">
        <v/>
      </c>
      <c r="D36" t="str">
        <v/>
      </c>
      <c r="E36" t="str">
        <v/>
      </c>
    </row>
    <row r="37">
      <c r="A37" t="str">
        <v xml:space="preserve">    Software</v>
      </c>
      <c r="B37" s="2">
        <f>-B20</f>
      </c>
      <c r="C37" t="str">
        <v/>
      </c>
      <c r="D37" t="str">
        <v/>
      </c>
      <c r="E37" t="str">
        <v/>
      </c>
    </row>
    <row r="38">
      <c r="A38" t="str">
        <v xml:space="preserve">    Seguros</v>
      </c>
      <c r="B38" s="2">
        <f>-B21</f>
      </c>
      <c r="C38" t="str">
        <v/>
      </c>
      <c r="D38" t="str">
        <v/>
      </c>
      <c r="E38" t="str">
        <v/>
      </c>
    </row>
    <row r="39">
      <c r="A39" t="str">
        <v xml:space="preserve">    Total compras c/ crédito</v>
      </c>
      <c r="B39" s="2">
        <f>B33+B34+B35+B36+B37+B38</f>
      </c>
      <c r="C39" t="str">
        <v/>
      </c>
      <c r="D39" t="str">
        <v/>
      </c>
      <c r="E39" t="str">
        <v/>
      </c>
    </row>
    <row r="40">
      <c r="A40" t="str">
        <v xml:space="preserve">  IVA Crédito</v>
      </c>
      <c r="B40" s="2">
        <f>B39*Inputs!B18/(1+Inputs!B18)</f>
      </c>
      <c r="C40" t="str">
        <v>= Total compras × 21% / 1.21</v>
      </c>
      <c r="D40" t="str">
        <v/>
      </c>
      <c r="E40" t="str">
        <v/>
      </c>
    </row>
    <row r="41">
      <c r="A41" t="str">
        <v xml:space="preserve">  IVA A PAGAR</v>
      </c>
      <c r="B41" s="2">
        <f>-MAX(0,B31-B40)</f>
      </c>
      <c r="C41" t="str">
        <v>= -(Débito - Crédito)</v>
      </c>
      <c r="D41" s="1">
        <f>-B41/B4</f>
      </c>
      <c r="E41" t="str">
        <v>CONSULTAR: ¿alquiler genera crédito IVA?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>2. IIBB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 xml:space="preserve">  Base (Rev blanco neto IVA)</v>
      </c>
      <c r="B44" s="2">
        <f>B5/(1+Inputs!B18)</f>
      </c>
      <c r="C44" t="str">
        <v>= Rev Blanco / 1.21</v>
      </c>
      <c r="D44" t="str">
        <v/>
      </c>
      <c r="E44" t="str">
        <v>CONSULTAR: ¿base neta de IVA?</v>
      </c>
    </row>
    <row r="45">
      <c r="A45" t="str">
        <v xml:space="preserve">  IIBB A PAGAR</v>
      </c>
      <c r="B45" s="2">
        <f>-B44*Inputs!B19</f>
      </c>
      <c r="C45" t="str">
        <v>= -Base × 3.5%</v>
      </c>
      <c r="D45" s="1">
        <f>-B45/B4</f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>3. Déb/Créd Bancarios</v>
      </c>
      <c r="B47" t="str">
        <v/>
      </c>
      <c r="C47" t="str">
        <v/>
      </c>
      <c r="D47" t="str">
        <v/>
      </c>
      <c r="E47" t="str">
        <v/>
      </c>
    </row>
    <row r="48">
      <c r="A48" t="str">
        <v xml:space="preserve">  Base (Rev blanco con IVA)</v>
      </c>
      <c r="B48" s="2">
        <f>B5</f>
      </c>
      <c r="C48" t="str">
        <v/>
      </c>
      <c r="D48" t="str">
        <v/>
      </c>
      <c r="E48" t="str">
        <v/>
      </c>
    </row>
    <row r="49">
      <c r="A49" t="str">
        <v xml:space="preserve">  DÉB/CRÉD A PAGAR</v>
      </c>
      <c r="B49" s="2">
        <f>-B48*Inputs!B20</f>
      </c>
      <c r="C49" t="str">
        <v>= -Base × 1.2%</v>
      </c>
      <c r="D49" s="1">
        <f>-B49/B4</f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>4. Ganancias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 xml:space="preserve">  Rev Blanco</v>
      </c>
      <c r="B52" s="2">
        <f>B5</f>
      </c>
      <c r="C52" t="str">
        <v/>
      </c>
      <c r="D52" t="str">
        <v/>
      </c>
      <c r="E52" t="str">
        <v/>
      </c>
    </row>
    <row r="53">
      <c r="A53" t="str">
        <v xml:space="preserve">  - Food+Paper en blanco</v>
      </c>
      <c r="B53" s="2">
        <f>-((-B9+-B10)*Inputs!B17)</f>
      </c>
      <c r="C53" t="str">
        <v>= -(Food+Paper) × % Compras Blanco</v>
      </c>
      <c r="D53" t="str">
        <v/>
      </c>
      <c r="E53" t="str">
        <v/>
      </c>
    </row>
    <row r="54">
      <c r="A54" t="str">
        <v xml:space="preserve">  - Comisiones</v>
      </c>
      <c r="B54" s="2">
        <f>B11</f>
      </c>
      <c r="C54" t="str">
        <v/>
      </c>
      <c r="D54" t="str">
        <v/>
      </c>
      <c r="E54" t="str">
        <v/>
      </c>
    </row>
    <row r="55">
      <c r="A55" t="str">
        <v xml:space="preserve">  - Marketing</v>
      </c>
      <c r="B55" s="2">
        <f>B12</f>
      </c>
      <c r="C55" t="str">
        <v/>
      </c>
      <c r="D55" t="str">
        <v/>
      </c>
      <c r="E55" t="str">
        <v/>
      </c>
    </row>
    <row r="56">
      <c r="A56" t="str">
        <v xml:space="preserve">  - Staff</v>
      </c>
      <c r="B56" s="2">
        <f>B16</f>
      </c>
      <c r="C56" t="str">
        <v/>
      </c>
      <c r="D56" t="str">
        <v/>
      </c>
      <c r="E56" t="str">
        <v/>
      </c>
    </row>
    <row r="57">
      <c r="A57" t="str">
        <v xml:space="preserve">  - Alquiler</v>
      </c>
      <c r="B57" s="2">
        <f>B17</f>
      </c>
      <c r="C57" t="str">
        <v/>
      </c>
      <c r="D57" t="str">
        <v/>
      </c>
      <c r="E57" t="str">
        <v/>
      </c>
    </row>
    <row r="58">
      <c r="A58" t="str">
        <v xml:space="preserve">  - Servicios</v>
      </c>
      <c r="B58" s="2">
        <f>B18</f>
      </c>
      <c r="C58" t="str">
        <v/>
      </c>
      <c r="D58" t="str">
        <v/>
      </c>
      <c r="E58" t="str">
        <v/>
      </c>
    </row>
    <row r="59">
      <c r="A59" t="str">
        <v xml:space="preserve">  - Contador</v>
      </c>
      <c r="B59" s="2">
        <f>B19</f>
      </c>
      <c r="C59" t="str">
        <v/>
      </c>
      <c r="D59" t="str">
        <v/>
      </c>
      <c r="E59" t="str">
        <v/>
      </c>
    </row>
    <row r="60">
      <c r="A60" t="str">
        <v xml:space="preserve">  - Software</v>
      </c>
      <c r="B60" s="2">
        <f>B20</f>
      </c>
      <c r="C60" t="str">
        <v/>
      </c>
      <c r="D60" t="str">
        <v/>
      </c>
      <c r="E60" t="str">
        <v/>
      </c>
    </row>
    <row r="61">
      <c r="A61" t="str">
        <v xml:space="preserve">  - Seguros</v>
      </c>
      <c r="B61" s="2">
        <f>B21</f>
      </c>
      <c r="C61" t="str">
        <v/>
      </c>
      <c r="D61" t="str">
        <v/>
      </c>
      <c r="E61" t="str">
        <v/>
      </c>
    </row>
    <row r="62">
      <c r="A62" t="str">
        <v xml:space="preserve">  - IVA a pagar</v>
      </c>
      <c r="B62" s="2">
        <f>B41</f>
      </c>
      <c r="C62" t="str">
        <v/>
      </c>
      <c r="D62" t="str">
        <v/>
      </c>
      <c r="E62" t="str">
        <v/>
      </c>
    </row>
    <row r="63">
      <c r="A63" t="str">
        <v xml:space="preserve">  - IIBB</v>
      </c>
      <c r="B63" s="2">
        <f>B45</f>
      </c>
      <c r="C63" t="str">
        <v/>
      </c>
      <c r="D63" t="str">
        <v/>
      </c>
      <c r="E63" t="str">
        <v/>
      </c>
    </row>
    <row r="64">
      <c r="A64" t="str">
        <v xml:space="preserve">  - Déb/Créd</v>
      </c>
      <c r="B64" s="2">
        <f>B49</f>
      </c>
      <c r="C64" t="str">
        <v/>
      </c>
      <c r="D64" t="str">
        <v/>
      </c>
      <c r="E64" t="str">
        <v/>
      </c>
    </row>
    <row r="65">
      <c r="A65" t="str">
        <v xml:space="preserve">  Base imponible</v>
      </c>
      <c r="B65" s="2">
        <f>B52+B53+B54+B55+B56+B57+B58+B59+B60+B61+B62+B63+B64</f>
      </c>
      <c r="C65" t="str">
        <v/>
      </c>
      <c r="D65" t="str">
        <v/>
      </c>
      <c r="E65" t="str">
        <v>CONSULTAR: ¿correcto restar otros imp?</v>
      </c>
    </row>
    <row r="66">
      <c r="A66" t="str">
        <v xml:space="preserve">  GANANCIAS A PAGAR</v>
      </c>
      <c r="B66" s="2">
        <f>-MAX(0,B65)*Inputs!B21</f>
      </c>
      <c r="C66" t="str">
        <v>= -MAX(0, Base) × 35%</v>
      </c>
      <c r="D66" s="1">
        <f>-B66/B4</f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>TOTAL IMPUESTOS</v>
      </c>
      <c r="B68" s="2">
        <f>B41+B45+B49+B66</f>
      </c>
      <c r="C68" t="str">
        <v/>
      </c>
      <c r="D68" s="1">
        <f>-B68/B4</f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>NET INCOME</v>
      </c>
      <c r="B70" s="2">
        <f>B26+B68</f>
      </c>
      <c r="C70" t="str">
        <v>= EBITDA + Total Impuestos (imp son negativos)</v>
      </c>
      <c r="D70" s="1">
        <f>B70/B4</f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>PREGUNTAS PARA EL CONTADOR</v>
      </c>
      <c r="B73" t="str">
        <v/>
      </c>
      <c r="C73" t="str">
        <v/>
      </c>
      <c r="D73" t="str">
        <v/>
      </c>
      <c r="E73" t="str">
        <v/>
      </c>
    </row>
    <row r="74">
      <c r="A74" t="str">
        <v>1. ¿Alquiler comercial genera crédito fiscal IVA o es exento?</v>
      </c>
      <c r="B74" t="str">
        <v/>
      </c>
      <c r="C74" t="str">
        <v/>
      </c>
      <c r="D74" t="str">
        <v/>
      </c>
      <c r="E74" t="str">
        <v/>
      </c>
    </row>
    <row r="75">
      <c r="A75" t="str">
        <v>2. ¿IIBB se calcula sobre base neta de IVA para CABA gastronomía?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3. ¿Sueldos incluyen cargas patronales o sumar ~23%?</v>
      </c>
      <c r="B76" t="str">
        <v/>
      </c>
      <c r="C76" t="str">
        <v/>
      </c>
      <c r="D76" t="str">
        <v/>
      </c>
      <c r="E76" t="str">
        <v/>
      </c>
    </row>
    <row r="77">
      <c r="A77" t="str">
        <v>4. ¿Falta algún tributo? (tasas municipales, SUSS, etc.)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5. ¿Ganancias: correcto restar IVA/IIBB/Déb-Créd de la base?</v>
      </c>
      <c r="B78" t="str">
        <v/>
      </c>
      <c r="C78" t="str">
        <v/>
      </c>
      <c r="D78" t="str">
        <v/>
      </c>
      <c r="E78" t="str">
        <v/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Estado de 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